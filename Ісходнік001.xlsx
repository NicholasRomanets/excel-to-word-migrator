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 1\Documents\А7017\Алфавітна книга\"/>
    </mc:Choice>
  </mc:AlternateContent>
  <xr:revisionPtr revIDLastSave="0" documentId="13_ncr:1_{90939DB2-BB2F-4ABF-A98B-88F79DDD1AA1}" xr6:coauthVersionLast="45" xr6:coauthVersionMax="45" xr10:uidLastSave="{00000000-0000-0000-0000-000000000000}"/>
  <bookViews>
    <workbookView xWindow="-108" yWindow="-108" windowWidth="23256" windowHeight="12456" xr2:uid="{F1415EE3-4897-4A01-929E-32A3B414B46D}"/>
  </bookViews>
  <sheets>
    <sheet name="БУФ" sheetId="2" r:id="rId1"/>
  </sheets>
  <definedNames>
    <definedName name="_xlnm._FilterDatabase" localSheetId="0" hidden="1">БУФ!$A$1:$BQ$4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4" i="2" l="1"/>
  <c r="O4" i="2"/>
  <c r="L4" i="2"/>
  <c r="AW3" i="2"/>
  <c r="O3" i="2"/>
  <c r="L3" i="2"/>
  <c r="AW2" i="2"/>
  <c r="O2" i="2"/>
  <c r="L2" i="2"/>
  <c r="I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Невідомий автор</author>
  </authors>
  <commentList>
    <comment ref="AO1" authorId="0" shapeId="0" xr:uid="{91278F84-5A6C-4B26-92F1-420BC28E6C91}">
      <text>
        <r>
          <rPr>
            <sz val="10"/>
            <rFont val="Arial"/>
            <family val="2"/>
            <charset val="204"/>
          </rPr>
          <t>до 30 квітня 2018 АТО, після ООС</t>
        </r>
      </text>
    </comment>
    <comment ref="AR1" authorId="0" shapeId="0" xr:uid="{803FBFE0-30C6-4CA0-938E-2508C18B8360}">
      <text>
        <r>
          <rPr>
            <sz val="10"/>
            <rFont val="Arial"/>
            <family val="2"/>
            <charset val="204"/>
          </rPr>
          <t xml:space="preserve">Sokolnikov Dmytro:
</t>
        </r>
        <r>
          <rPr>
            <sz val="9"/>
            <color rgb="FF000000"/>
            <rFont val="Tahoma"/>
            <family val="2"/>
            <charset val="204"/>
          </rPr>
          <t xml:space="preserve">зафарбовано зеленим - відправили Карену документи на молодших лейтенантів
</t>
        </r>
      </text>
    </comment>
  </commentList>
</comments>
</file>

<file path=xl/sharedStrings.xml><?xml version="1.0" encoding="utf-8"?>
<sst xmlns="http://schemas.openxmlformats.org/spreadsheetml/2006/main" count="177" uniqueCount="132">
  <si>
    <t xml:space="preserve">№ </t>
  </si>
  <si>
    <t>код</t>
  </si>
  <si>
    <t>ІПН</t>
  </si>
  <si>
    <t>Військове звання</t>
  </si>
  <si>
    <t>Посада</t>
  </si>
  <si>
    <t>Прізвище</t>
  </si>
  <si>
    <t>ім'я</t>
  </si>
  <si>
    <t>по-батькові</t>
  </si>
  <si>
    <t>Поточний стан</t>
  </si>
  <si>
    <t>Відбір</t>
  </si>
  <si>
    <t>Прізвище та ініціали</t>
  </si>
  <si>
    <t>тип призову</t>
  </si>
  <si>
    <t>Номер особової справи</t>
  </si>
  <si>
    <t>Дата народження</t>
  </si>
  <si>
    <t>телефон</t>
  </si>
  <si>
    <t>На посаді з 
(прибув до нас)</t>
  </si>
  <si>
    <t>Номер наказу про призначення</t>
  </si>
  <si>
    <t>Номер наказу по частині про зарахування</t>
  </si>
  <si>
    <t xml:space="preserve">Прибув з </t>
  </si>
  <si>
    <t xml:space="preserve">Призваний </t>
  </si>
  <si>
    <t>отримання звання</t>
  </si>
  <si>
    <t>служба до нашої частини (не служив, строкова, мобілізація, контракт) та наявність УБД</t>
  </si>
  <si>
    <t>Стан здоров'я (дата внесення в таблицю)</t>
  </si>
  <si>
    <t>професія</t>
  </si>
  <si>
    <t>категорія водія</t>
  </si>
  <si>
    <t>військова проффесія</t>
  </si>
  <si>
    <t>ВОС-1</t>
  </si>
  <si>
    <t>ВОС-2</t>
  </si>
  <si>
    <t>ВОС-3</t>
  </si>
  <si>
    <t>ВОС-4</t>
  </si>
  <si>
    <t>ВОС-5</t>
  </si>
  <si>
    <t>ВОС-6</t>
  </si>
  <si>
    <t>Освіта</t>
  </si>
  <si>
    <t>Заклад навчання</t>
  </si>
  <si>
    <t>цивільна професія</t>
  </si>
  <si>
    <t>Служба в ЗС (календарна)</t>
  </si>
  <si>
    <t>Остання посада</t>
  </si>
  <si>
    <t>Курси</t>
  </si>
  <si>
    <t>Пільгова вислуга</t>
  </si>
  <si>
    <t>Кількість діб і в якому секторі</t>
  </si>
  <si>
    <t>в якому взводі служив</t>
  </si>
  <si>
    <t xml:space="preserve">Чий наказ </t>
  </si>
  <si>
    <t>Номер наказу ОС про вибуття 
(дд.мм.рррр №***)</t>
  </si>
  <si>
    <t>Дата вибуття</t>
  </si>
  <si>
    <t>Номер наказу по частині про вибуття</t>
  </si>
  <si>
    <t>до якої частини вибув</t>
  </si>
  <si>
    <t>Причина</t>
  </si>
  <si>
    <t>Порахуй підрозділ</t>
  </si>
  <si>
    <t>ГДО = Оздоровчі за 24</t>
  </si>
  <si>
    <t>тарифний розряд</t>
  </si>
  <si>
    <t>Матдопомога за 2024</t>
  </si>
  <si>
    <t>Додаткова відпустка 14 діб УБД</t>
  </si>
  <si>
    <t>Щорічна ВП за 25</t>
  </si>
  <si>
    <t>Щорічна ВП за 24</t>
  </si>
  <si>
    <t>Щорічна ВП за 23</t>
  </si>
  <si>
    <t>Щорічна ВП за 22</t>
  </si>
  <si>
    <t>Щорічна ВП за 21</t>
  </si>
  <si>
    <t>Щорічна ВП за 20</t>
  </si>
  <si>
    <t>Щорічна ВП за 19</t>
  </si>
  <si>
    <t>Щорічна ВП за 18</t>
  </si>
  <si>
    <t>Щорічна ВП за 17</t>
  </si>
  <si>
    <t>Щорічна ВП за 16</t>
  </si>
  <si>
    <t>Щорічна ВП за 15</t>
  </si>
  <si>
    <t>Щорічна ВП за 14</t>
  </si>
  <si>
    <t>Дані для звіту</t>
  </si>
  <si>
    <t>який рівень освіти</t>
  </si>
  <si>
    <t>Скіко повних рочків</t>
  </si>
  <si>
    <t>КОНТРОЛЬ ПРИБУТТЯ</t>
  </si>
  <si>
    <t>солдат</t>
  </si>
  <si>
    <t>Романович</t>
  </si>
  <si>
    <t>СЗЧ 65 взвод</t>
  </si>
  <si>
    <t>*** ЄРДР *** чужіє СЗЧ (29.03.2024 по 24.10.2024) *** прибув до нас 24.10.2024 ***</t>
  </si>
  <si>
    <t>моб</t>
  </si>
  <si>
    <t>СЗЧшники</t>
  </si>
  <si>
    <t>№ 321</t>
  </si>
  <si>
    <t>Коростенським РТЦК та СП</t>
  </si>
  <si>
    <t>мобілізація</t>
  </si>
  <si>
    <t>кухар</t>
  </si>
  <si>
    <t>середня спеціальна</t>
  </si>
  <si>
    <t>Маленський професійний ліцей у 2018 році</t>
  </si>
  <si>
    <t>У ЗС з 14.02.2023 по 29.03.2024 , з 24.10.2024 по теперішній час</t>
  </si>
  <si>
    <t>Курси БЗВП за ВОС 100 у 2023 році</t>
  </si>
  <si>
    <t>не має</t>
  </si>
  <si>
    <t>не приймав</t>
  </si>
  <si>
    <t>не УБД</t>
  </si>
  <si>
    <t>ХХХ</t>
  </si>
  <si>
    <t>Андрій</t>
  </si>
  <si>
    <t>Володимирович</t>
  </si>
  <si>
    <t>не проходив</t>
  </si>
  <si>
    <t>дані відсутні</t>
  </si>
  <si>
    <t>вища</t>
  </si>
  <si>
    <t>В С</t>
  </si>
  <si>
    <t>№ 323</t>
  </si>
  <si>
    <t>Роман</t>
  </si>
  <si>
    <t>сержант резерву</t>
  </si>
  <si>
    <t>Юрійович</t>
  </si>
  <si>
    <t>71 взвод</t>
  </si>
  <si>
    <t xml:space="preserve">№ 10447 *** кандидат на офіцера 10-24 *** </t>
  </si>
  <si>
    <t>по іменному списку</t>
  </si>
  <si>
    <t>Лубенського РТЦК та СП</t>
  </si>
  <si>
    <t>Лубенським РТЦК та СП</t>
  </si>
  <si>
    <t>не служив</t>
  </si>
  <si>
    <t>А В</t>
  </si>
  <si>
    <t>Черкаський державний технологічний університет у 2020 році</t>
  </si>
  <si>
    <t>підприємництво та економіка підприємства</t>
  </si>
  <si>
    <t>У ЗС з 26.10.2024 по теперішній час</t>
  </si>
  <si>
    <t>ні</t>
  </si>
  <si>
    <t>магістр</t>
  </si>
  <si>
    <t>Михайло</t>
  </si>
  <si>
    <t>№ 328</t>
  </si>
  <si>
    <t>молодший лейтенант</t>
  </si>
  <si>
    <t>СЗЧ 13 взвод</t>
  </si>
  <si>
    <t>*** чужіє СЗЧ (29.06.2024 - 30.10.2024) *** прибув до нас 30.10.2024 ***</t>
  </si>
  <si>
    <t>А4969</t>
  </si>
  <si>
    <t>Дніпровським РТЦК та СП м. Київ</t>
  </si>
  <si>
    <t>мобілізація + УБД</t>
  </si>
  <si>
    <t>командир взводу</t>
  </si>
  <si>
    <t xml:space="preserve">Курси при НАСВ у 2023 році; цивільна, Чернігівський юридичний інститут у 2006 році </t>
  </si>
  <si>
    <t>юрист</t>
  </si>
  <si>
    <t>У ЗС з 29.06.2023 по 29.06.2024, з 30.10.2024 по теперішній час</t>
  </si>
  <si>
    <t>офіцер резерву</t>
  </si>
  <si>
    <t>солдат резерву</t>
  </si>
  <si>
    <t>Бондор</t>
  </si>
  <si>
    <t>986789389</t>
  </si>
  <si>
    <t>А4455</t>
  </si>
  <si>
    <t>Мирченко</t>
  </si>
  <si>
    <t>Квіткок</t>
  </si>
  <si>
    <t>985111888</t>
  </si>
  <si>
    <t>503881111</t>
  </si>
  <si>
    <t>CD01</t>
  </si>
  <si>
    <t>CD02</t>
  </si>
  <si>
    <t>CD03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</si>
</sst>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</font>
    <font>
      <sz val="12"/>
      <name val="Arial Narrow"/>
      <family val="2"/>
    </font>
    <font>
      <sz val="12"/>
      <color theme="1"/>
      <name val="Arial Narrow"/>
      <family val="2"/>
    </font>
    <font>
      <sz val="11"/>
      <color theme="1"/>
      <name val="Arial Narrow"/>
      <family val="2"/>
    </font>
    <font>
      <sz val="12"/>
      <color rgb="FF000000"/>
      <name val="Arial Narrow"/>
      <family val="2"/>
    </font>
    <font>
      <sz val="11"/>
      <color rgb="FF1F1F1F"/>
      <name val="Arial Narrow"/>
      <family val="2"/>
    </font>
    <font>
      <sz val="9"/>
      <color rgb="FFF7981D"/>
      <name val="Arial Narrow"/>
      <family val="2"/>
    </font>
    <font>
      <sz val="11"/>
      <color rgb="FF000000"/>
      <name val="Arial Narrow"/>
      <family val="2"/>
    </font>
    <font>
      <sz val="11"/>
      <color rgb="FF242424"/>
      <name val="Arial Narrow"/>
      <family val="2"/>
    </font>
    <font>
      <sz val="10"/>
      <name val="Arial"/>
      <family val="2"/>
      <charset val="204"/>
    </font>
    <font>
      <sz val="9"/>
      <color rgb="FF000000"/>
      <name val="Tahoma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C000"/>
      </patternFill>
    </fill>
    <fill>
      <patternFill patternType="solid">
        <fgColor theme="5" tint="0.59959715567491678"/>
        <bgColor rgb="FFE6B8B7"/>
      </patternFill>
    </fill>
    <fill>
      <patternFill patternType="solid">
        <fgColor theme="6" tint="0.59959715567491678"/>
        <bgColor rgb="FFD9D9D9"/>
      </patternFill>
    </fill>
    <fill>
      <patternFill patternType="solid">
        <fgColor rgb="FFB7DEE8"/>
        <bgColor rgb="FFD9D9D9"/>
      </patternFill>
    </fill>
    <fill>
      <patternFill patternType="solid">
        <fgColor rgb="FF92D050"/>
        <bgColor rgb="FFA6A6A6"/>
      </patternFill>
    </fill>
    <fill>
      <patternFill patternType="solid">
        <fgColor rgb="FFFFC000"/>
        <bgColor rgb="FFFBBC04"/>
      </patternFill>
    </fill>
    <fill>
      <patternFill patternType="solid">
        <fgColor rgb="FF00B0F0"/>
        <bgColor rgb="FF31869B"/>
      </patternFill>
    </fill>
    <fill>
      <patternFill patternType="solid">
        <fgColor rgb="FFFF0000"/>
        <bgColor rgb="FFC0000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14" fontId="1" fillId="5" borderId="1" xfId="0" applyNumberFormat="1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7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vertical="top" wrapText="1"/>
    </xf>
    <xf numFmtId="0" fontId="3" fillId="0" borderId="0" xfId="0" applyFont="1"/>
    <xf numFmtId="0" fontId="3" fillId="10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14" fontId="3" fillId="0" borderId="1" xfId="0" applyNumberFormat="1" applyFont="1" applyBorder="1"/>
    <xf numFmtId="49" fontId="3" fillId="0" borderId="1" xfId="0" applyNumberFormat="1" applyFont="1" applyBorder="1"/>
    <xf numFmtId="0" fontId="8" fillId="0" borderId="2" xfId="0" applyFont="1" applyBorder="1"/>
    <xf numFmtId="0" fontId="7" fillId="0" borderId="3" xfId="0" applyFont="1" applyBorder="1"/>
    <xf numFmtId="0" fontId="3" fillId="0" borderId="4" xfId="0" applyFont="1" applyBorder="1"/>
    <xf numFmtId="0" fontId="6" fillId="0" borderId="4" xfId="0" applyFont="1" applyBorder="1"/>
    <xf numFmtId="14" fontId="3" fillId="0" borderId="4" xfId="0" applyNumberFormat="1" applyFont="1" applyBorder="1"/>
    <xf numFmtId="0" fontId="3" fillId="10" borderId="2" xfId="0" applyFont="1" applyFill="1" applyBorder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A3D7A-60F9-4878-99C1-B896AA906A27}">
  <dimension ref="A1:BQ4"/>
  <sheetViews>
    <sheetView tabSelected="1" zoomScaleNormal="100"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C7" sqref="C7"/>
    </sheetView>
  </sheetViews>
  <sheetFormatPr defaultRowHeight="14.4" x14ac:dyDescent="0.3"/>
  <cols>
    <col min="1" max="1" width="7.44140625" bestFit="1" customWidth="1"/>
    <col min="2" max="2" width="8.33203125" bestFit="1" customWidth="1"/>
    <col min="3" max="3" width="16" customWidth="1"/>
    <col min="4" max="4" width="17.5546875" customWidth="1"/>
    <col min="5" max="5" width="16.33203125" customWidth="1"/>
    <col min="6" max="6" width="15.5546875" customWidth="1"/>
    <col min="7" max="7" width="13.44140625" customWidth="1"/>
    <col min="8" max="8" width="14.44140625" customWidth="1"/>
    <col min="9" max="9" width="13.6640625" customWidth="1"/>
    <col min="10" max="10" width="46.33203125" customWidth="1"/>
    <col min="11" max="11" width="14.88671875" customWidth="1"/>
    <col min="14" max="14" width="11.33203125" bestFit="1" customWidth="1"/>
    <col min="15" max="15" width="12.33203125" customWidth="1"/>
    <col min="16" max="16" width="11.44140625" style="39" customWidth="1"/>
    <col min="17" max="17" width="12.44140625" customWidth="1"/>
    <col min="18" max="18" width="10.44140625" customWidth="1"/>
    <col min="21" max="21" width="26.33203125" customWidth="1"/>
    <col min="22" max="22" width="11.33203125" customWidth="1"/>
    <col min="23" max="23" width="14.109375" customWidth="1"/>
    <col min="28" max="29" width="7.33203125" customWidth="1"/>
    <col min="30" max="30" width="7.88671875" customWidth="1"/>
    <col min="35" max="35" width="15.88671875" customWidth="1"/>
    <col min="36" max="36" width="12.33203125" customWidth="1"/>
    <col min="37" max="37" width="29" customWidth="1"/>
    <col min="38" max="38" width="11.6640625" customWidth="1"/>
    <col min="39" max="39" width="16.44140625" customWidth="1"/>
    <col min="41" max="41" width="13.5546875" customWidth="1"/>
    <col min="45" max="45" width="12" bestFit="1" customWidth="1"/>
    <col min="56" max="56" width="7.33203125" customWidth="1"/>
    <col min="57" max="57" width="6.44140625" customWidth="1"/>
    <col min="58" max="58" width="5.44140625" customWidth="1"/>
    <col min="59" max="60" width="5.5546875" customWidth="1"/>
    <col min="61" max="61" width="5.33203125" customWidth="1"/>
    <col min="62" max="62" width="4.88671875" customWidth="1"/>
    <col min="63" max="63" width="5.44140625" customWidth="1"/>
    <col min="64" max="64" width="4.88671875" customWidth="1"/>
    <col min="65" max="65" width="5" customWidth="1"/>
    <col min="68" max="68" width="10.5546875" customWidth="1"/>
  </cols>
  <sheetData>
    <row r="1" spans="1:69" s="25" customFormat="1" ht="54.7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>
        <f>SUBTOTAL(3,C:C)-1</f>
        <v>3</v>
      </c>
      <c r="J1" s="6" t="s">
        <v>8</v>
      </c>
      <c r="K1" s="7" t="s">
        <v>9</v>
      </c>
      <c r="L1" s="8" t="s">
        <v>10</v>
      </c>
      <c r="M1" s="9" t="s">
        <v>11</v>
      </c>
      <c r="N1" s="1" t="s">
        <v>12</v>
      </c>
      <c r="O1" s="10" t="s">
        <v>13</v>
      </c>
      <c r="P1" s="2" t="s">
        <v>14</v>
      </c>
      <c r="Q1" s="11" t="s">
        <v>15</v>
      </c>
      <c r="R1" s="12" t="s">
        <v>16</v>
      </c>
      <c r="S1" s="11" t="s">
        <v>17</v>
      </c>
      <c r="T1" s="12" t="s">
        <v>18</v>
      </c>
      <c r="U1" s="11" t="s">
        <v>19</v>
      </c>
      <c r="V1" s="13" t="s">
        <v>20</v>
      </c>
      <c r="W1" s="14" t="s">
        <v>21</v>
      </c>
      <c r="X1" s="14" t="s">
        <v>22</v>
      </c>
      <c r="Y1" s="15" t="s">
        <v>23</v>
      </c>
      <c r="Z1" s="1" t="s">
        <v>24</v>
      </c>
      <c r="AA1" s="3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16" t="s">
        <v>32</v>
      </c>
      <c r="AI1" s="17" t="s">
        <v>33</v>
      </c>
      <c r="AJ1" s="17" t="s">
        <v>34</v>
      </c>
      <c r="AK1" s="18" t="s">
        <v>35</v>
      </c>
      <c r="AL1" s="18" t="s">
        <v>36</v>
      </c>
      <c r="AM1" s="18" t="s">
        <v>37</v>
      </c>
      <c r="AN1" s="19" t="s">
        <v>38</v>
      </c>
      <c r="AO1" s="6" t="s">
        <v>39</v>
      </c>
      <c r="AP1" s="20" t="s">
        <v>40</v>
      </c>
      <c r="AQ1" s="20" t="s">
        <v>41</v>
      </c>
      <c r="AR1" s="13" t="s">
        <v>42</v>
      </c>
      <c r="AS1" s="13" t="s">
        <v>43</v>
      </c>
      <c r="AT1" s="13" t="s">
        <v>44</v>
      </c>
      <c r="AU1" s="13" t="s">
        <v>45</v>
      </c>
      <c r="AV1" s="20" t="s">
        <v>46</v>
      </c>
      <c r="AW1" s="8" t="s">
        <v>47</v>
      </c>
      <c r="AX1" s="21" t="s">
        <v>48</v>
      </c>
      <c r="AY1" s="22" t="s">
        <v>49</v>
      </c>
      <c r="AZ1" s="21" t="s">
        <v>50</v>
      </c>
      <c r="BA1" s="23" t="s">
        <v>51</v>
      </c>
      <c r="BB1" s="24" t="s">
        <v>52</v>
      </c>
      <c r="BC1" s="24" t="s">
        <v>53</v>
      </c>
      <c r="BD1" s="24" t="s">
        <v>54</v>
      </c>
      <c r="BE1" s="24" t="s">
        <v>55</v>
      </c>
      <c r="BF1" s="24" t="s">
        <v>56</v>
      </c>
      <c r="BG1" s="24" t="s">
        <v>57</v>
      </c>
      <c r="BH1" s="24" t="s">
        <v>58</v>
      </c>
      <c r="BI1" s="24" t="s">
        <v>59</v>
      </c>
      <c r="BJ1" s="24" t="s">
        <v>60</v>
      </c>
      <c r="BK1" s="24" t="s">
        <v>61</v>
      </c>
      <c r="BL1" s="24" t="s">
        <v>62</v>
      </c>
      <c r="BM1" s="24" t="s">
        <v>63</v>
      </c>
      <c r="BN1" s="8" t="s">
        <v>64</v>
      </c>
      <c r="BO1" s="13" t="s">
        <v>65</v>
      </c>
      <c r="BP1" s="8" t="s">
        <v>66</v>
      </c>
      <c r="BQ1" s="21" t="s">
        <v>67</v>
      </c>
    </row>
    <row r="2" spans="1:69" s="25" customFormat="1" ht="15.6" x14ac:dyDescent="0.3">
      <c r="A2" s="26" t="s">
        <v>129</v>
      </c>
      <c r="B2" s="27">
        <v>900</v>
      </c>
      <c r="C2" s="27">
        <v>3629309217</v>
      </c>
      <c r="D2" s="27" t="s">
        <v>68</v>
      </c>
      <c r="E2" s="27" t="s">
        <v>121</v>
      </c>
      <c r="F2" s="27" t="s">
        <v>122</v>
      </c>
      <c r="G2" s="27" t="s">
        <v>86</v>
      </c>
      <c r="H2" s="27" t="s">
        <v>69</v>
      </c>
      <c r="I2" s="28" t="s">
        <v>70</v>
      </c>
      <c r="J2" s="29" t="s">
        <v>71</v>
      </c>
      <c r="K2" s="27"/>
      <c r="L2" s="30" t="str">
        <f t="shared" ref="L2:L3" si="0">F2&amp;" "&amp;LEFT(G2,1)&amp;"."&amp;LEFT(H2,1)&amp;"."</f>
        <v>Бондор А.Р.</v>
      </c>
      <c r="M2" s="27" t="s">
        <v>72</v>
      </c>
      <c r="N2" s="27"/>
      <c r="O2" s="31">
        <f t="shared" ref="O2:O3" si="1">C2/100000+1</f>
        <v>36294.092170000004</v>
      </c>
      <c r="P2" s="32" t="s">
        <v>123</v>
      </c>
      <c r="Q2" s="31">
        <v>45589</v>
      </c>
      <c r="R2" s="27" t="s">
        <v>73</v>
      </c>
      <c r="S2" s="27" t="s">
        <v>74</v>
      </c>
      <c r="T2" s="27" t="s">
        <v>124</v>
      </c>
      <c r="U2" s="27" t="s">
        <v>75</v>
      </c>
      <c r="V2" s="31">
        <v>43976</v>
      </c>
      <c r="W2" s="27" t="s">
        <v>76</v>
      </c>
      <c r="X2" s="27"/>
      <c r="Y2" s="27"/>
      <c r="Z2" s="27"/>
      <c r="AA2" s="27" t="s">
        <v>77</v>
      </c>
      <c r="AB2" s="27">
        <v>788569</v>
      </c>
      <c r="AC2" s="27">
        <v>100915</v>
      </c>
      <c r="AD2" s="27"/>
      <c r="AE2" s="27"/>
      <c r="AF2" s="27"/>
      <c r="AG2" s="27"/>
      <c r="AH2" s="27" t="s">
        <v>78</v>
      </c>
      <c r="AI2" s="27" t="s">
        <v>79</v>
      </c>
      <c r="AJ2" s="27" t="s">
        <v>77</v>
      </c>
      <c r="AK2" s="27" t="s">
        <v>80</v>
      </c>
      <c r="AL2" s="27" t="s">
        <v>77</v>
      </c>
      <c r="AM2" s="29" t="s">
        <v>81</v>
      </c>
      <c r="AN2" s="27" t="s">
        <v>82</v>
      </c>
      <c r="AO2" s="27" t="s">
        <v>83</v>
      </c>
      <c r="AP2" s="27"/>
      <c r="AQ2" s="27"/>
      <c r="AR2" s="27"/>
      <c r="AS2" s="27"/>
      <c r="AT2" s="27"/>
      <c r="AU2" s="27"/>
      <c r="AV2" s="27"/>
      <c r="AW2" s="27" t="str">
        <f t="shared" ref="AW2:AW3" si="2">LEFT(I2,1)</f>
        <v>С</v>
      </c>
      <c r="AX2" s="27"/>
      <c r="AY2" s="27"/>
      <c r="AZ2" s="27"/>
      <c r="BA2" s="27" t="s">
        <v>84</v>
      </c>
      <c r="BB2" s="27"/>
      <c r="BC2" s="27"/>
      <c r="BD2" s="27"/>
      <c r="BE2" s="27" t="s">
        <v>85</v>
      </c>
      <c r="BF2" s="27" t="s">
        <v>85</v>
      </c>
      <c r="BG2" s="27" t="s">
        <v>85</v>
      </c>
      <c r="BH2" s="27" t="s">
        <v>85</v>
      </c>
      <c r="BI2" s="27" t="s">
        <v>85</v>
      </c>
      <c r="BJ2" s="27" t="s">
        <v>85</v>
      </c>
      <c r="BK2" s="27" t="s">
        <v>85</v>
      </c>
      <c r="BL2" s="27" t="s">
        <v>85</v>
      </c>
      <c r="BM2" s="27" t="s">
        <v>85</v>
      </c>
      <c r="BN2" s="27"/>
      <c r="BO2" s="27"/>
      <c r="BP2" s="27"/>
      <c r="BQ2" s="27"/>
    </row>
    <row r="3" spans="1:69" s="25" customFormat="1" x14ac:dyDescent="0.3">
      <c r="A3" s="26" t="s">
        <v>130</v>
      </c>
      <c r="B3" s="27">
        <v>800</v>
      </c>
      <c r="C3" s="27">
        <v>3556426695</v>
      </c>
      <c r="D3" s="27" t="s">
        <v>68</v>
      </c>
      <c r="E3" s="27" t="s">
        <v>94</v>
      </c>
      <c r="F3" s="27" t="s">
        <v>125</v>
      </c>
      <c r="G3" s="27" t="s">
        <v>108</v>
      </c>
      <c r="H3" s="27" t="s">
        <v>95</v>
      </c>
      <c r="I3" s="27" t="s">
        <v>96</v>
      </c>
      <c r="J3" s="33" t="s">
        <v>97</v>
      </c>
      <c r="K3" s="27"/>
      <c r="L3" s="30" t="str">
        <f t="shared" si="0"/>
        <v>Мирченко М.Ю.</v>
      </c>
      <c r="M3" s="27" t="s">
        <v>72</v>
      </c>
      <c r="N3" s="27"/>
      <c r="O3" s="31">
        <f t="shared" si="1"/>
        <v>35565.266949999997</v>
      </c>
      <c r="P3" s="32" t="s">
        <v>127</v>
      </c>
      <c r="Q3" s="31">
        <v>45591</v>
      </c>
      <c r="R3" s="27" t="s">
        <v>98</v>
      </c>
      <c r="S3" s="27" t="s">
        <v>92</v>
      </c>
      <c r="T3" s="27" t="s">
        <v>99</v>
      </c>
      <c r="U3" s="27" t="s">
        <v>100</v>
      </c>
      <c r="V3" s="31">
        <v>45394</v>
      </c>
      <c r="W3" s="27" t="s">
        <v>101</v>
      </c>
      <c r="X3" s="27"/>
      <c r="Y3" s="27"/>
      <c r="Z3" s="27" t="s">
        <v>102</v>
      </c>
      <c r="AA3" s="27" t="s">
        <v>101</v>
      </c>
      <c r="AB3" s="27">
        <v>900025</v>
      </c>
      <c r="AC3" s="27"/>
      <c r="AD3" s="27"/>
      <c r="AE3" s="27"/>
      <c r="AF3" s="27"/>
      <c r="AG3" s="27"/>
      <c r="AH3" s="27" t="s">
        <v>90</v>
      </c>
      <c r="AI3" s="27" t="s">
        <v>103</v>
      </c>
      <c r="AJ3" s="27" t="s">
        <v>104</v>
      </c>
      <c r="AK3" s="27" t="s">
        <v>105</v>
      </c>
      <c r="AL3" s="27" t="s">
        <v>101</v>
      </c>
      <c r="AM3" s="27" t="s">
        <v>88</v>
      </c>
      <c r="AN3" s="27" t="s">
        <v>82</v>
      </c>
      <c r="AO3" s="27" t="s">
        <v>83</v>
      </c>
      <c r="AP3" s="27"/>
      <c r="AQ3" s="27"/>
      <c r="AR3" s="27"/>
      <c r="AS3" s="27"/>
      <c r="AT3" s="27"/>
      <c r="AU3" s="27"/>
      <c r="AV3" s="27"/>
      <c r="AW3" s="27" t="str">
        <f t="shared" si="2"/>
        <v>7</v>
      </c>
      <c r="AX3" s="27" t="s">
        <v>106</v>
      </c>
      <c r="AY3" s="27">
        <v>1</v>
      </c>
      <c r="AZ3" s="27" t="s">
        <v>106</v>
      </c>
      <c r="BA3" s="27" t="s">
        <v>84</v>
      </c>
      <c r="BB3" s="27"/>
      <c r="BC3" s="27" t="s">
        <v>106</v>
      </c>
      <c r="BD3" s="27" t="s">
        <v>85</v>
      </c>
      <c r="BE3" s="27" t="s">
        <v>85</v>
      </c>
      <c r="BF3" s="27" t="s">
        <v>85</v>
      </c>
      <c r="BG3" s="27" t="s">
        <v>85</v>
      </c>
      <c r="BH3" s="27" t="s">
        <v>85</v>
      </c>
      <c r="BI3" s="27" t="s">
        <v>85</v>
      </c>
      <c r="BJ3" s="27" t="s">
        <v>85</v>
      </c>
      <c r="BK3" s="27" t="s">
        <v>85</v>
      </c>
      <c r="BL3" s="27" t="s">
        <v>85</v>
      </c>
      <c r="BM3" s="27" t="s">
        <v>85</v>
      </c>
      <c r="BN3" s="27"/>
      <c r="BO3" s="34" t="s">
        <v>107</v>
      </c>
      <c r="BP3" s="27">
        <v>27</v>
      </c>
      <c r="BQ3" s="27"/>
    </row>
    <row r="4" spans="1:69" s="25" customFormat="1" ht="15.6" x14ac:dyDescent="0.3">
      <c r="A4" s="38" t="s">
        <v>131</v>
      </c>
      <c r="B4" s="27">
        <v>700</v>
      </c>
      <c r="C4" s="27">
        <v>3072401959</v>
      </c>
      <c r="D4" s="27" t="s">
        <v>110</v>
      </c>
      <c r="E4" s="27" t="s">
        <v>120</v>
      </c>
      <c r="F4" s="27" t="s">
        <v>126</v>
      </c>
      <c r="G4" s="27" t="s">
        <v>93</v>
      </c>
      <c r="H4" s="27" t="s">
        <v>87</v>
      </c>
      <c r="I4" s="28" t="s">
        <v>111</v>
      </c>
      <c r="J4" s="27" t="s">
        <v>112</v>
      </c>
      <c r="K4" s="27"/>
      <c r="L4" s="36" t="str">
        <f t="shared" ref="L4" si="3">F4&amp;" "&amp;LEFT(G4,1)&amp;"."&amp;LEFT(H4,1)&amp;"."</f>
        <v>Квіткок Р.В.</v>
      </c>
      <c r="M4" s="27" t="s">
        <v>72</v>
      </c>
      <c r="N4" s="27"/>
      <c r="O4" s="37">
        <f t="shared" ref="O4" si="4">C4/100000+1</f>
        <v>30725.01959</v>
      </c>
      <c r="P4" s="32" t="s">
        <v>128</v>
      </c>
      <c r="Q4" s="31">
        <v>45595</v>
      </c>
      <c r="R4" s="27" t="s">
        <v>73</v>
      </c>
      <c r="S4" s="27" t="s">
        <v>109</v>
      </c>
      <c r="T4" s="27" t="s">
        <v>113</v>
      </c>
      <c r="U4" s="27" t="s">
        <v>114</v>
      </c>
      <c r="V4" s="31">
        <v>45222</v>
      </c>
      <c r="W4" s="27" t="s">
        <v>115</v>
      </c>
      <c r="X4" s="27"/>
      <c r="Y4" s="27"/>
      <c r="Z4" s="27" t="s">
        <v>91</v>
      </c>
      <c r="AA4" s="27" t="s">
        <v>116</v>
      </c>
      <c r="AB4" s="27">
        <v>21003</v>
      </c>
      <c r="AC4" s="27"/>
      <c r="AD4" s="27"/>
      <c r="AE4" s="27"/>
      <c r="AF4" s="27"/>
      <c r="AG4" s="27"/>
      <c r="AH4" s="27" t="s">
        <v>90</v>
      </c>
      <c r="AI4" s="27" t="s">
        <v>117</v>
      </c>
      <c r="AJ4" s="27" t="s">
        <v>118</v>
      </c>
      <c r="AK4" s="27" t="s">
        <v>119</v>
      </c>
      <c r="AL4" s="27" t="s">
        <v>116</v>
      </c>
      <c r="AM4" s="27" t="s">
        <v>81</v>
      </c>
      <c r="AN4" s="27" t="s">
        <v>89</v>
      </c>
      <c r="AO4" s="27" t="s">
        <v>89</v>
      </c>
      <c r="AP4" s="27"/>
      <c r="AQ4" s="27"/>
      <c r="AR4" s="27"/>
      <c r="AS4" s="27"/>
      <c r="AT4" s="27"/>
      <c r="AU4" s="27"/>
      <c r="AV4" s="27"/>
      <c r="AW4" s="35" t="str">
        <f t="shared" ref="AW4" si="5">LEFT(I4,1)</f>
        <v>С</v>
      </c>
      <c r="AX4" s="27"/>
      <c r="AY4" s="27"/>
      <c r="AZ4" s="27"/>
      <c r="BA4" s="27" t="s">
        <v>89</v>
      </c>
      <c r="BB4" s="27"/>
      <c r="BC4" s="27"/>
      <c r="BD4" s="27"/>
      <c r="BE4" s="27" t="s">
        <v>85</v>
      </c>
      <c r="BF4" s="27" t="s">
        <v>85</v>
      </c>
      <c r="BG4" s="27" t="s">
        <v>85</v>
      </c>
      <c r="BH4" s="27" t="s">
        <v>85</v>
      </c>
      <c r="BI4" s="27" t="s">
        <v>85</v>
      </c>
      <c r="BJ4" s="27" t="s">
        <v>85</v>
      </c>
      <c r="BK4" s="27" t="s">
        <v>85</v>
      </c>
      <c r="BL4" s="27" t="s">
        <v>85</v>
      </c>
      <c r="BM4" s="27" t="s">
        <v>85</v>
      </c>
      <c r="BN4" s="27"/>
      <c r="BO4" s="27"/>
      <c r="BP4" s="27"/>
      <c r="BQ4" s="27"/>
    </row>
  </sheetData>
  <autoFilter ref="A1:BQ4" xr:uid="{F3BC13D9-99AE-434A-BC25-B7E40E61FE33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БУФ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</dc:creator>
  <cp:lastModifiedBy>User 1</cp:lastModifiedBy>
  <dcterms:created xsi:type="dcterms:W3CDTF">2025-12-01T07:01:54Z</dcterms:created>
  <dcterms:modified xsi:type="dcterms:W3CDTF">2025-12-01T07:13:44Z</dcterms:modified>
</cp:coreProperties>
</file>